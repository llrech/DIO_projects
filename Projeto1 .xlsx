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DIO - Santander - Excel\Projeto1\"/>
    </mc:Choice>
  </mc:AlternateContent>
  <xr:revisionPtr revIDLastSave="0" documentId="13_ncr:1_{744F0E6C-1A8D-49A6-BAE8-9DAF173B88D6}" xr6:coauthVersionLast="47" xr6:coauthVersionMax="47" xr10:uidLastSave="{00000000-0000-0000-0000-000000000000}"/>
  <bookViews>
    <workbookView xWindow="-120" yWindow="-120" windowWidth="29040" windowHeight="15720" xr2:uid="{C9BD1690-68D4-4F01-B389-978B75C36049}"/>
  </bookViews>
  <sheets>
    <sheet name="Simulador" sheetId="1" r:id="rId1"/>
    <sheet name="Base" sheetId="2" r:id="rId2"/>
  </sheets>
  <externalReferences>
    <externalReference r:id="rId3"/>
  </externalReferences>
  <definedNames>
    <definedName name="aporte">Simulador!$D$12</definedName>
    <definedName name="patrimonio">Simulador!$D$15</definedName>
    <definedName name="qtd_anos">Simulador!$D$13</definedName>
    <definedName name="rendimento_carteira">Simulador!$D$8</definedName>
    <definedName name="salario">Simulador!$D$7</definedName>
    <definedName name="taxa_mensal">Simulador!$D$14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37" i="1"/>
  <c r="C38" i="1"/>
  <c r="C39" i="1"/>
  <c r="C40" i="1"/>
  <c r="C35" i="1"/>
  <c r="C20" i="1" l="1"/>
  <c r="C21" i="1"/>
  <c r="C22" i="1"/>
  <c r="C23" i="1"/>
  <c r="C19" i="1"/>
  <c r="D15" i="1"/>
  <c r="C32" i="1"/>
  <c r="D39" i="1" l="1"/>
  <c r="D35" i="1"/>
  <c r="D38" i="1"/>
  <c r="D37" i="1"/>
  <c r="D36" i="1"/>
  <c r="D40" i="1"/>
  <c r="A20" i="2"/>
  <c r="A19" i="2"/>
  <c r="A18" i="2"/>
  <c r="A17" i="2"/>
  <c r="A16" i="2"/>
  <c r="A15" i="2"/>
  <c r="A14" i="2"/>
  <c r="A13" i="2"/>
  <c r="A12" i="2"/>
  <c r="A11" i="2"/>
  <c r="A10" i="2"/>
  <c r="H4" i="2" s="1"/>
  <c r="A9" i="2"/>
  <c r="A8" i="2"/>
  <c r="A7" i="2"/>
  <c r="A6" i="2"/>
  <c r="A5" i="2"/>
  <c r="A4" i="2"/>
  <c r="A3" i="2"/>
  <c r="D16" i="1"/>
  <c r="D9" i="1"/>
  <c r="D19" i="1" l="1"/>
  <c r="D22" i="1"/>
  <c r="D21" i="1"/>
  <c r="D23" i="1"/>
  <c r="D20" i="1"/>
  <c r="D41" i="1" l="1"/>
</calcChain>
</file>

<file path=xl/sharedStrings.xml><?xml version="1.0" encoding="utf-8"?>
<sst xmlns="http://schemas.openxmlformats.org/spreadsheetml/2006/main" count="73" uniqueCount="36">
  <si>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</si>
  <si>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</si>
  <si>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</si>
  <si>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</si>
  <si>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</si>
  <si>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</si>
  <si>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</si>
  <si>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</si>
  <si>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</si>
  <si>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</si>
  <si>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</si>
  <si>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</si>
  <si>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</si>
  <si>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</si>
  <si>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</si>
  <si>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</si>
  <si>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CHAVE</t>
  </si>
  <si>
    <t>PERFIL</t>
  </si>
  <si>
    <t>TIPO DE FII</t>
  </si>
  <si>
    <t>%</t>
  </si>
  <si>
    <t>Conservador</t>
  </si>
  <si>
    <t>PAPEL</t>
  </si>
  <si>
    <t>TIJOLO</t>
  </si>
  <si>
    <t>Moderado-TIJOLO</t>
  </si>
  <si>
    <t>HÍBRIDOS</t>
  </si>
  <si>
    <t>FOFs</t>
  </si>
  <si>
    <t>DESENVOLVIMENTO</t>
  </si>
  <si>
    <t>HOTELARIAS</t>
  </si>
  <si>
    <t>Moderado</t>
  </si>
  <si>
    <t>Agressivo</t>
  </si>
  <si>
    <t xml:space="preserve"> CENÁRIOS PROVÁVEIS</t>
  </si>
  <si>
    <t xml:space="preserve">* Rendimentos passados não asseguram o mesmo rendimento em momento futuro </t>
  </si>
  <si>
    <t>VALOR A SER INVESTIDO POR MÊS</t>
  </si>
  <si>
    <t>Percentual Sugerido</t>
  </si>
  <si>
    <t>Valores</t>
  </si>
  <si>
    <t>DISTRIBUIÇÃO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</si>
</sst>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20"/>
      <color theme="0"/>
      <name val="Segoe UI Semibold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2"/>
      <color theme="0"/>
      <name val="Segoe UI Semibold"/>
      <family val="2"/>
    </font>
    <font>
      <i/>
      <sz val="11"/>
      <color theme="2" tint="-0.499984740745262"/>
      <name val="Aptos Narrow"/>
      <family val="2"/>
      <scheme val="minor"/>
    </font>
    <font>
      <sz val="11"/>
      <color theme="7" tint="0.79998168889431442"/>
      <name val="Aptos Narrow"/>
      <family val="2"/>
      <scheme val="minor"/>
    </font>
    <font>
      <sz val="11"/>
      <name val="Segoe UI"/>
      <family val="2"/>
    </font>
    <font>
      <b/>
      <sz val="14"/>
      <color theme="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0">
    <xf numFmtId="0" fontId="0" fillId="0" borderId="0" xfId="0"/>
    <xf numFmtId="0" fontId="0" fillId="3" borderId="0" xfId="0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0" xfId="3"/>
    <xf numFmtId="9" fontId="2" fillId="2" borderId="0" xfId="2" applyFont="1" applyFill="1"/>
    <xf numFmtId="0" fontId="0" fillId="0" borderId="17" xfId="0" applyBorder="1"/>
    <xf numFmtId="0" fontId="0" fillId="0" borderId="17" xfId="0" applyBorder="1" applyAlignment="1">
      <alignment horizontal="center"/>
    </xf>
    <xf numFmtId="9" fontId="0" fillId="0" borderId="17" xfId="0" applyNumberFormat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9" fontId="0" fillId="5" borderId="0" xfId="0" applyNumberFormat="1" applyFill="1" applyAlignment="1">
      <alignment horizontal="center"/>
    </xf>
    <xf numFmtId="0" fontId="0" fillId="6" borderId="0" xfId="0" applyFill="1"/>
    <xf numFmtId="0" fontId="6" fillId="6" borderId="1" xfId="0" applyFont="1" applyFill="1" applyBorder="1" applyAlignment="1">
      <alignment horizontal="left" indent="3"/>
    </xf>
    <xf numFmtId="0" fontId="6" fillId="6" borderId="2" xfId="0" applyFont="1" applyFill="1" applyBorder="1" applyAlignment="1">
      <alignment horizontal="left" indent="3"/>
    </xf>
    <xf numFmtId="164" fontId="7" fillId="6" borderId="3" xfId="1" applyNumberFormat="1" applyFont="1" applyFill="1" applyBorder="1" applyAlignment="1">
      <alignment horizontal="center"/>
    </xf>
    <xf numFmtId="0" fontId="6" fillId="6" borderId="4" xfId="0" applyFont="1" applyFill="1" applyBorder="1" applyAlignment="1">
      <alignment horizontal="left" indent="3"/>
    </xf>
    <xf numFmtId="0" fontId="6" fillId="6" borderId="5" xfId="0" applyFont="1" applyFill="1" applyBorder="1" applyAlignment="1">
      <alignment horizontal="left" indent="3"/>
    </xf>
    <xf numFmtId="10" fontId="7" fillId="6" borderId="6" xfId="0" applyNumberFormat="1" applyFont="1" applyFill="1" applyBorder="1" applyAlignment="1">
      <alignment horizontal="center"/>
    </xf>
    <xf numFmtId="0" fontId="6" fillId="6" borderId="7" xfId="0" applyFont="1" applyFill="1" applyBorder="1" applyAlignment="1">
      <alignment horizontal="left" indent="3"/>
    </xf>
    <xf numFmtId="0" fontId="6" fillId="6" borderId="8" xfId="0" applyFont="1" applyFill="1" applyBorder="1" applyAlignment="1">
      <alignment horizontal="left" indent="3"/>
    </xf>
    <xf numFmtId="164" fontId="7" fillId="6" borderId="9" xfId="0" applyNumberFormat="1" applyFont="1" applyFill="1" applyBorder="1" applyAlignment="1">
      <alignment horizontal="center"/>
    </xf>
    <xf numFmtId="164" fontId="9" fillId="6" borderId="3" xfId="0" applyNumberFormat="1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10" fontId="9" fillId="6" borderId="6" xfId="0" applyNumberFormat="1" applyFont="1" applyFill="1" applyBorder="1" applyAlignment="1">
      <alignment horizontal="center"/>
    </xf>
    <xf numFmtId="0" fontId="10" fillId="6" borderId="4" xfId="0" applyFont="1" applyFill="1" applyBorder="1" applyAlignment="1">
      <alignment horizontal="left" indent="3"/>
    </xf>
    <xf numFmtId="0" fontId="10" fillId="6" borderId="5" xfId="0" applyFont="1" applyFill="1" applyBorder="1" applyAlignment="1">
      <alignment horizontal="left" indent="3"/>
    </xf>
    <xf numFmtId="8" fontId="9" fillId="6" borderId="6" xfId="0" applyNumberFormat="1" applyFont="1" applyFill="1" applyBorder="1" applyAlignment="1">
      <alignment horizontal="center"/>
    </xf>
    <xf numFmtId="0" fontId="10" fillId="6" borderId="7" xfId="0" applyFont="1" applyFill="1" applyBorder="1" applyAlignment="1">
      <alignment horizontal="left" indent="3"/>
    </xf>
    <xf numFmtId="0" fontId="10" fillId="6" borderId="8" xfId="0" applyFont="1" applyFill="1" applyBorder="1" applyAlignment="1">
      <alignment horizontal="left" indent="3"/>
    </xf>
    <xf numFmtId="8" fontId="9" fillId="6" borderId="9" xfId="0" applyNumberFormat="1" applyFont="1" applyFill="1" applyBorder="1" applyAlignment="1">
      <alignment horizontal="center"/>
    </xf>
    <xf numFmtId="0" fontId="6" fillId="6" borderId="10" xfId="0" applyFont="1" applyFill="1" applyBorder="1" applyAlignment="1">
      <alignment horizontal="left" indent="3"/>
    </xf>
    <xf numFmtId="0" fontId="6" fillId="6" borderId="13" xfId="0" applyFont="1" applyFill="1" applyBorder="1" applyAlignment="1">
      <alignment horizontal="left" indent="3"/>
    </xf>
    <xf numFmtId="0" fontId="6" fillId="6" borderId="15" xfId="0" applyFont="1" applyFill="1" applyBorder="1" applyAlignment="1">
      <alignment horizontal="left" indent="3"/>
    </xf>
    <xf numFmtId="0" fontId="6" fillId="6" borderId="0" xfId="0" applyFont="1" applyFill="1" applyBorder="1" applyAlignment="1">
      <alignment horizontal="left" indent="3"/>
    </xf>
    <xf numFmtId="164" fontId="7" fillId="6" borderId="0" xfId="0" applyNumberFormat="1" applyFont="1" applyFill="1" applyBorder="1" applyAlignment="1">
      <alignment horizontal="center"/>
    </xf>
    <xf numFmtId="0" fontId="12" fillId="6" borderId="0" xfId="0" applyFont="1" applyFill="1"/>
    <xf numFmtId="0" fontId="4" fillId="7" borderId="18" xfId="0" applyFont="1" applyFill="1" applyBorder="1" applyAlignment="1">
      <alignment horizontal="left" vertical="center"/>
    </xf>
    <xf numFmtId="0" fontId="5" fillId="7" borderId="19" xfId="0" applyFont="1" applyFill="1" applyBorder="1" applyAlignment="1">
      <alignment horizontal="right"/>
    </xf>
    <xf numFmtId="0" fontId="4" fillId="7" borderId="20" xfId="0" applyFont="1" applyFill="1" applyBorder="1" applyAlignment="1">
      <alignment horizontal="right" vertical="center"/>
    </xf>
    <xf numFmtId="0" fontId="8" fillId="8" borderId="18" xfId="0" applyFont="1" applyFill="1" applyBorder="1" applyAlignment="1">
      <alignment horizontal="left" vertical="center"/>
    </xf>
    <xf numFmtId="0" fontId="8" fillId="8" borderId="19" xfId="0" applyFont="1" applyFill="1" applyBorder="1" applyAlignment="1">
      <alignment horizontal="left" vertical="center"/>
    </xf>
    <xf numFmtId="0" fontId="8" fillId="8" borderId="20" xfId="0" applyFont="1" applyFill="1" applyBorder="1" applyAlignment="1">
      <alignment horizontal="left" vertical="center"/>
    </xf>
    <xf numFmtId="0" fontId="13" fillId="6" borderId="0" xfId="0" applyFont="1" applyFill="1"/>
    <xf numFmtId="164" fontId="7" fillId="6" borderId="11" xfId="1" applyNumberFormat="1" applyFont="1" applyFill="1" applyBorder="1" applyAlignment="1"/>
    <xf numFmtId="164" fontId="7" fillId="6" borderId="12" xfId="1" applyNumberFormat="1" applyFont="1" applyFill="1" applyBorder="1" applyAlignment="1"/>
    <xf numFmtId="164" fontId="7" fillId="6" borderId="14" xfId="1" applyNumberFormat="1" applyFont="1" applyFill="1" applyBorder="1" applyAlignment="1"/>
    <xf numFmtId="164" fontId="7" fillId="6" borderId="21" xfId="1" applyNumberFormat="1" applyFont="1" applyFill="1" applyBorder="1" applyAlignment="1"/>
    <xf numFmtId="164" fontId="7" fillId="6" borderId="16" xfId="1" applyNumberFormat="1" applyFont="1" applyFill="1" applyBorder="1" applyAlignment="1"/>
    <xf numFmtId="0" fontId="14" fillId="6" borderId="0" xfId="3" applyFont="1" applyFill="1"/>
    <xf numFmtId="0" fontId="8" fillId="9" borderId="18" xfId="0" applyFont="1" applyFill="1" applyBorder="1" applyAlignment="1">
      <alignment horizontal="left" vertical="center"/>
    </xf>
    <xf numFmtId="0" fontId="8" fillId="9" borderId="19" xfId="0" applyFont="1" applyFill="1" applyBorder="1" applyAlignment="1">
      <alignment horizontal="left" vertical="center"/>
    </xf>
    <xf numFmtId="0" fontId="11" fillId="9" borderId="20" xfId="0" applyFont="1" applyFill="1" applyBorder="1" applyAlignment="1">
      <alignment horizontal="center" vertical="center"/>
    </xf>
    <xf numFmtId="0" fontId="8" fillId="10" borderId="18" xfId="0" applyFont="1" applyFill="1" applyBorder="1" applyAlignment="1">
      <alignment horizontal="left" vertical="center"/>
    </xf>
    <xf numFmtId="0" fontId="8" fillId="10" borderId="19" xfId="0" applyFont="1" applyFill="1" applyBorder="1" applyAlignment="1">
      <alignment horizontal="left" vertical="center"/>
    </xf>
    <xf numFmtId="0" fontId="8" fillId="10" borderId="20" xfId="0" applyFont="1" applyFill="1" applyBorder="1" applyAlignment="1">
      <alignment horizontal="left" vertical="center"/>
    </xf>
    <xf numFmtId="0" fontId="15" fillId="8" borderId="0" xfId="3" applyFont="1" applyFill="1" applyAlignment="1">
      <alignment horizontal="center"/>
    </xf>
    <xf numFmtId="0" fontId="15" fillId="6" borderId="0" xfId="3" applyFont="1" applyFill="1" applyAlignment="1">
      <alignment horizontal="center"/>
    </xf>
    <xf numFmtId="0" fontId="9" fillId="6" borderId="0" xfId="0" applyFont="1" applyFill="1"/>
    <xf numFmtId="164" fontId="9" fillId="6" borderId="0" xfId="1" applyNumberFormat="1" applyFont="1" applyFill="1" applyAlignment="1">
      <alignment horizontal="center"/>
    </xf>
    <xf numFmtId="0" fontId="7" fillId="6" borderId="0" xfId="0" applyFont="1" applyFill="1"/>
    <xf numFmtId="0" fontId="9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9" fontId="7" fillId="6" borderId="0" xfId="0" applyNumberFormat="1" applyFont="1" applyFill="1" applyAlignment="1">
      <alignment horizontal="center"/>
    </xf>
    <xf numFmtId="164" fontId="7" fillId="6" borderId="0" xfId="0" applyNumberFormat="1" applyFont="1" applyFill="1" applyAlignment="1">
      <alignment horizontal="center"/>
    </xf>
    <xf numFmtId="164" fontId="9" fillId="6" borderId="0" xfId="0" applyNumberFormat="1" applyFont="1" applyFill="1" applyAlignment="1">
      <alignment horizontal="center"/>
    </xf>
    <xf numFmtId="0" fontId="14" fillId="6" borderId="0" xfId="3" applyFont="1" applyFill="1" applyAlignment="1">
      <alignment horizontal="right"/>
    </xf>
    <xf numFmtId="0" fontId="8" fillId="6" borderId="0" xfId="0" applyFont="1" applyFill="1" applyBorder="1" applyAlignment="1">
      <alignment horizontal="left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&quot;R$&quot;\ #,##0.0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3" formatCode="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Simulador!$C$34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Simulador!$C$35:$C$40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9-48A6-9378-C774A0845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4</xdr:row>
      <xdr:rowOff>38100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009BDB2E-87CA-8F7B-7BD1-2683A3BFAECF}"/>
            </a:ext>
          </a:extLst>
        </xdr:cNvPr>
        <xdr:cNvGrpSpPr/>
      </xdr:nvGrpSpPr>
      <xdr:grpSpPr>
        <a:xfrm>
          <a:off x="0" y="0"/>
          <a:ext cx="7439025" cy="771525"/>
          <a:chOff x="0" y="0"/>
          <a:chExt cx="7219950" cy="771525"/>
        </a:xfrm>
      </xdr:grpSpPr>
      <xdr:pic>
        <xdr:nvPicPr>
          <xdr:cNvPr id="5" name="Imagem 4" descr="Setas apontando para cima">
            <a:extLst>
              <a:ext uri="{FF2B5EF4-FFF2-40B4-BE49-F238E27FC236}">
                <a16:creationId xmlns:a16="http://schemas.microsoft.com/office/drawing/2014/main" id="{8D6F3DB7-646D-1D89-3C4B-D58F395B78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28700" cy="771525"/>
          </a:xfrm>
          <a:prstGeom prst="rect">
            <a:avLst/>
          </a:prstGeom>
        </xdr:spPr>
      </xdr:pic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372AC6FA-DB0F-5B45-779E-48B9D20FD41C}"/>
              </a:ext>
            </a:extLst>
          </xdr:cNvPr>
          <xdr:cNvSpPr txBox="1"/>
        </xdr:nvSpPr>
        <xdr:spPr>
          <a:xfrm>
            <a:off x="1114423" y="133348"/>
            <a:ext cx="5441173" cy="52387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pt-BR" sz="2400" b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innerShdw blurRad="63500" dist="50800">
                    <a:prstClr val="black">
                      <a:alpha val="50000"/>
                    </a:prstClr>
                  </a:innerShdw>
                </a:effectLst>
                <a:latin typeface="Amasis MT Pro Black" panose="02040A04050005020304" pitchFamily="18" charset="0"/>
              </a:rPr>
              <a:t>SIMULADOR - INVESTIMENTOS</a:t>
            </a:r>
          </a:p>
        </xdr:txBody>
      </xdr:sp>
      <xdr:cxnSp macro="">
        <xdr:nvCxnSpPr>
          <xdr:cNvPr id="8" name="Conector reto 7">
            <a:extLst>
              <a:ext uri="{FF2B5EF4-FFF2-40B4-BE49-F238E27FC236}">
                <a16:creationId xmlns:a16="http://schemas.microsoft.com/office/drawing/2014/main" id="{A1685162-F1AF-7F04-1701-6E8C8B1FAD36}"/>
              </a:ext>
            </a:extLst>
          </xdr:cNvPr>
          <xdr:cNvCxnSpPr/>
        </xdr:nvCxnSpPr>
        <xdr:spPr>
          <a:xfrm flipV="1">
            <a:off x="0" y="742950"/>
            <a:ext cx="7219950" cy="9525"/>
          </a:xfrm>
          <a:prstGeom prst="line">
            <a:avLst/>
          </a:prstGeom>
          <a:ln w="7620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19049</xdr:colOff>
      <xdr:row>42</xdr:row>
      <xdr:rowOff>14286</xdr:rowOff>
    </xdr:from>
    <xdr:to>
      <xdr:col>4</xdr:col>
      <xdr:colOff>47624</xdr:colOff>
      <xdr:row>57</xdr:row>
      <xdr:rowOff>19049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1CACEAB-E5EE-A2A8-89D4-7B8F03776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\DIO%20-%20Santander%20-%20Excel\Projeto1\a04b81b1-8e35-4e72-aeb9-98aed8ed4403%20(2).xlsx" TargetMode="External"/><Relationship Id="rId1" Type="http://schemas.openxmlformats.org/officeDocument/2006/relationships/externalLinkPath" Target="a04b81b1-8e35-4e72-aeb9-98aed8ed4403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"/>
      <sheetName val="Planilha2"/>
    </sheetNames>
    <sheetDataSet>
      <sheetData sheetId="0">
        <row r="35">
          <cell r="C35" t="str">
            <v>Percentual Sugerido</v>
          </cell>
        </row>
        <row r="36">
          <cell r="B36" t="str">
            <v>PAPEL</v>
          </cell>
          <cell r="C36">
            <v>0.32</v>
          </cell>
        </row>
        <row r="37">
          <cell r="B37" t="str">
            <v>TIJOLO</v>
          </cell>
          <cell r="C37">
            <v>0.35</v>
          </cell>
        </row>
        <row r="38">
          <cell r="B38" t="str">
            <v>HÍBRIDOS</v>
          </cell>
          <cell r="C38">
            <v>0.08</v>
          </cell>
        </row>
        <row r="39">
          <cell r="B39" t="str">
            <v>FOFs</v>
          </cell>
          <cell r="C39">
            <v>0.05</v>
          </cell>
        </row>
        <row r="40">
          <cell r="B40" t="str">
            <v>DESENVOLVIMENTO</v>
          </cell>
          <cell r="C40">
            <v>0.1</v>
          </cell>
        </row>
        <row r="41">
          <cell r="B41" t="str">
            <v>HOTELARIAS</v>
          </cell>
          <cell r="C41">
            <v>0.1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EB5021-29BC-4B2D-B728-E9CA687C3517}" name="Tabela1" displayName="Tabela1" ref="B34:D41" totalsRowShown="0" headerRowDxfId="0">
  <autoFilter ref="B34:D41" xr:uid="{22EB5021-29BC-4B2D-B728-E9CA687C3517}"/>
  <tableColumns count="3">
    <tableColumn id="1" xr3:uid="{DD70FBDC-0F49-4AE9-B0D5-BDF588938099}" name="TIPO DE FII" dataDxfId="3"/>
    <tableColumn id="2" xr3:uid="{75BFA7E5-11DD-4519-A69D-CBF51013514A}" name="Percentual Sugerido" dataDxfId="2"/>
    <tableColumn id="3" xr3:uid="{220C326E-F205-48E8-A72D-763864A96B38}" name="Valores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CAE5-5BFF-4041-9EC4-001165900616}">
  <dimension ref="A1:O59"/>
  <sheetViews>
    <sheetView showGridLines="0" showRowColHeaders="0" tabSelected="1" topLeftCell="A4" workbookViewId="0">
      <selection activeCell="F37" sqref="F37"/>
    </sheetView>
  </sheetViews>
  <sheetFormatPr defaultColWidth="0" defaultRowHeight="15" zeroHeight="1" x14ac:dyDescent="0.25"/>
  <cols>
    <col min="1" max="1" width="12.42578125" customWidth="1"/>
    <col min="2" max="2" width="36.42578125" customWidth="1"/>
    <col min="3" max="3" width="23.140625" customWidth="1"/>
    <col min="4" max="4" width="20.85546875" customWidth="1"/>
    <col min="5" max="5" width="12.42578125" customWidth="1"/>
    <col min="6" max="6" width="6.28515625" customWidth="1"/>
    <col min="7" max="8" width="9.140625" hidden="1"/>
    <col min="16" max="16384" width="9.140625" hidden="1"/>
  </cols>
  <sheetData>
    <row r="1" spans="1:14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2.75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75" thickBot="1" x14ac:dyDescent="0.3">
      <c r="A5" s="14"/>
      <c r="B5" s="14"/>
      <c r="C5" s="14"/>
      <c r="D5" s="14"/>
      <c r="E5" s="14"/>
      <c r="F5" s="14"/>
      <c r="G5" s="14"/>
      <c r="H5" s="14"/>
    </row>
    <row r="6" spans="1:14" ht="27" thickBot="1" x14ac:dyDescent="0.35">
      <c r="A6" s="14"/>
      <c r="B6" s="39" t="s">
        <v>0</v>
      </c>
      <c r="C6" s="40"/>
      <c r="D6" s="41"/>
      <c r="E6" s="14"/>
      <c r="F6" s="14"/>
      <c r="G6" s="14"/>
      <c r="H6" s="14"/>
    </row>
    <row r="7" spans="1:14" ht="17.25" x14ac:dyDescent="0.3">
      <c r="A7" s="14"/>
      <c r="B7" s="15" t="s">
        <v>1</v>
      </c>
      <c r="C7" s="16"/>
      <c r="D7" s="17">
        <v>8500</v>
      </c>
      <c r="E7" s="14"/>
      <c r="F7" s="14"/>
      <c r="G7" s="14"/>
      <c r="H7" s="14"/>
    </row>
    <row r="8" spans="1:14" ht="17.25" x14ac:dyDescent="0.3">
      <c r="A8" s="14"/>
      <c r="B8" s="18" t="s">
        <v>2</v>
      </c>
      <c r="C8" s="19"/>
      <c r="D8" s="20">
        <v>6.0000000000000001E-3</v>
      </c>
      <c r="E8" s="14"/>
      <c r="F8" s="14"/>
      <c r="G8" s="14"/>
      <c r="H8" s="14"/>
    </row>
    <row r="9" spans="1:14" ht="18" thickBot="1" x14ac:dyDescent="0.35">
      <c r="A9" s="14"/>
      <c r="B9" s="21" t="s">
        <v>3</v>
      </c>
      <c r="C9" s="22"/>
      <c r="D9" s="23">
        <f>D7*30%</f>
        <v>2550</v>
      </c>
      <c r="E9" s="14"/>
      <c r="F9" s="14"/>
      <c r="G9" s="14"/>
      <c r="H9" s="14"/>
    </row>
    <row r="10" spans="1:14" ht="15.75" thickBot="1" x14ac:dyDescent="0.3">
      <c r="A10" s="14"/>
      <c r="B10" s="14"/>
      <c r="C10" s="14"/>
      <c r="D10" s="14"/>
      <c r="E10" s="14"/>
      <c r="F10" s="14"/>
      <c r="G10" s="14"/>
      <c r="H10" s="14"/>
    </row>
    <row r="11" spans="1:14" ht="31.5" thickBot="1" x14ac:dyDescent="0.3">
      <c r="A11" s="14"/>
      <c r="B11" s="42" t="s">
        <v>4</v>
      </c>
      <c r="C11" s="43"/>
      <c r="D11" s="44"/>
      <c r="E11" s="14"/>
      <c r="F11" s="14"/>
      <c r="G11" s="14"/>
      <c r="H11" s="14"/>
    </row>
    <row r="12" spans="1:14" ht="17.25" x14ac:dyDescent="0.3">
      <c r="A12" s="14"/>
      <c r="B12" s="15" t="s">
        <v>5</v>
      </c>
      <c r="C12" s="16"/>
      <c r="D12" s="24">
        <v>4000</v>
      </c>
      <c r="E12" s="14"/>
      <c r="F12" s="14"/>
      <c r="G12" s="14"/>
      <c r="H12" s="14"/>
    </row>
    <row r="13" spans="1:14" ht="17.25" x14ac:dyDescent="0.3">
      <c r="A13" s="14"/>
      <c r="B13" s="18" t="s">
        <v>6</v>
      </c>
      <c r="C13" s="19"/>
      <c r="D13" s="25">
        <v>5</v>
      </c>
      <c r="E13" s="14"/>
      <c r="F13" s="14"/>
      <c r="G13" s="14"/>
      <c r="H13" s="14"/>
    </row>
    <row r="14" spans="1:14" ht="17.25" x14ac:dyDescent="0.3">
      <c r="A14" s="14"/>
      <c r="B14" s="18" t="s">
        <v>7</v>
      </c>
      <c r="C14" s="19"/>
      <c r="D14" s="26">
        <v>1.0800000000000001E-2</v>
      </c>
      <c r="E14" s="14"/>
      <c r="F14" s="14"/>
      <c r="G14" s="14"/>
      <c r="H14" s="14"/>
    </row>
    <row r="15" spans="1:14" ht="17.25" x14ac:dyDescent="0.3">
      <c r="A15" s="14"/>
      <c r="B15" s="27" t="s">
        <v>8</v>
      </c>
      <c r="C15" s="28"/>
      <c r="D15" s="29">
        <f>FV(taxa_mensal,qtd_anos*12,aporte*-1)</f>
        <v>335216.07743703376</v>
      </c>
      <c r="E15" s="14"/>
      <c r="F15" s="14"/>
      <c r="G15" s="14"/>
      <c r="H15" s="14"/>
    </row>
    <row r="16" spans="1:14" ht="18" thickBot="1" x14ac:dyDescent="0.35">
      <c r="A16" s="14"/>
      <c r="B16" s="30" t="s">
        <v>9</v>
      </c>
      <c r="C16" s="31"/>
      <c r="D16" s="32">
        <f>patrimonio*rendimento_carteira</f>
        <v>2011.2964646222026</v>
      </c>
      <c r="E16" s="14"/>
      <c r="F16" s="14"/>
      <c r="G16" s="14"/>
      <c r="H16" s="14"/>
    </row>
    <row r="17" spans="1:8" ht="15.75" thickBot="1" x14ac:dyDescent="0.3">
      <c r="A17" s="14"/>
      <c r="B17" s="14"/>
      <c r="C17" s="14"/>
      <c r="D17" s="14"/>
      <c r="E17" s="14"/>
      <c r="F17" s="14"/>
      <c r="G17" s="14"/>
      <c r="H17" s="14"/>
    </row>
    <row r="18" spans="1:8" ht="31.5" thickBot="1" x14ac:dyDescent="0.3">
      <c r="A18" s="14"/>
      <c r="B18" s="52" t="s">
        <v>30</v>
      </c>
      <c r="C18" s="53"/>
      <c r="D18" s="54" t="s">
        <v>10</v>
      </c>
      <c r="E18" s="14"/>
      <c r="F18" s="14"/>
      <c r="G18" s="14"/>
      <c r="H18" s="14"/>
    </row>
    <row r="19" spans="1:8" ht="17.25" x14ac:dyDescent="0.3">
      <c r="A19" s="45">
        <v>2</v>
      </c>
      <c r="B19" s="33" t="s">
        <v>11</v>
      </c>
      <c r="C19" s="46">
        <f>FV($D$14,$A19*12,$D$12*-1)</f>
        <v>108923.45464232637</v>
      </c>
      <c r="D19" s="47">
        <f>C19*rendimento_carteira</f>
        <v>653.54072785395817</v>
      </c>
      <c r="E19" s="14"/>
      <c r="F19" s="14"/>
      <c r="G19" s="14"/>
      <c r="H19" s="14"/>
    </row>
    <row r="20" spans="1:8" ht="17.25" x14ac:dyDescent="0.3">
      <c r="A20" s="45">
        <v>5</v>
      </c>
      <c r="B20" s="34" t="s">
        <v>12</v>
      </c>
      <c r="C20" s="46">
        <f t="shared" ref="C20:C23" si="0">FV($D$14,$A20*12,$D$12*-1)</f>
        <v>335216.07743703376</v>
      </c>
      <c r="D20" s="48">
        <f>C20*rendimento_carteira</f>
        <v>2011.2964646222026</v>
      </c>
      <c r="E20" s="14"/>
      <c r="F20" s="14"/>
      <c r="G20" s="14"/>
      <c r="H20" s="14"/>
    </row>
    <row r="21" spans="1:8" ht="17.25" x14ac:dyDescent="0.3">
      <c r="A21" s="45">
        <v>10</v>
      </c>
      <c r="B21" s="34" t="s">
        <v>13</v>
      </c>
      <c r="C21" s="46">
        <f t="shared" si="0"/>
        <v>973830.66501920042</v>
      </c>
      <c r="D21" s="48">
        <f>C21*rendimento_carteira</f>
        <v>5842.9839901152027</v>
      </c>
      <c r="E21" s="14"/>
      <c r="F21" s="14"/>
      <c r="G21" s="14"/>
      <c r="H21" s="14"/>
    </row>
    <row r="22" spans="1:8" ht="17.25" x14ac:dyDescent="0.3">
      <c r="A22" s="45">
        <v>20</v>
      </c>
      <c r="B22" s="34" t="s">
        <v>14</v>
      </c>
      <c r="C22" s="46">
        <f t="shared" si="0"/>
        <v>4508195.9731940934</v>
      </c>
      <c r="D22" s="48">
        <f>C22*rendimento_carteira</f>
        <v>27049.17583916456</v>
      </c>
      <c r="E22" s="14"/>
      <c r="F22" s="14"/>
      <c r="G22" s="14"/>
      <c r="H22" s="14"/>
    </row>
    <row r="23" spans="1:8" ht="18" thickBot="1" x14ac:dyDescent="0.35">
      <c r="A23" s="45">
        <v>30</v>
      </c>
      <c r="B23" s="35" t="s">
        <v>15</v>
      </c>
      <c r="C23" s="49">
        <f t="shared" si="0"/>
        <v>17335619.241267007</v>
      </c>
      <c r="D23" s="50">
        <f>C23*rendimento_carteira</f>
        <v>104013.71544760204</v>
      </c>
      <c r="E23" s="14"/>
      <c r="F23" s="14"/>
      <c r="G23" s="14"/>
      <c r="H23" s="14"/>
    </row>
    <row r="24" spans="1:8" ht="17.25" x14ac:dyDescent="0.3">
      <c r="A24" s="14"/>
      <c r="B24" s="36"/>
      <c r="C24" s="37"/>
      <c r="D24" s="37"/>
      <c r="E24" s="14"/>
      <c r="F24" s="14"/>
      <c r="G24" s="14"/>
      <c r="H24" s="14"/>
    </row>
    <row r="25" spans="1:8" x14ac:dyDescent="0.25">
      <c r="A25" s="38" t="s">
        <v>31</v>
      </c>
      <c r="B25" s="14"/>
      <c r="C25" s="14"/>
      <c r="D25" s="14"/>
      <c r="E25" s="14"/>
      <c r="F25" s="14"/>
      <c r="G25" s="14"/>
      <c r="H25" s="14"/>
    </row>
    <row r="26" spans="1:8" x14ac:dyDescent="0.25">
      <c r="A26" s="14"/>
      <c r="B26" s="14"/>
      <c r="C26" s="14"/>
      <c r="D26" s="14"/>
      <c r="E26" s="14"/>
      <c r="F26" s="14"/>
      <c r="G26" s="14"/>
      <c r="H26" s="14"/>
    </row>
    <row r="27" spans="1:8" ht="15.75" thickBot="1" x14ac:dyDescent="0.3">
      <c r="A27" s="14"/>
      <c r="B27" s="14"/>
      <c r="C27" s="14"/>
      <c r="D27" s="14"/>
      <c r="E27" s="14"/>
      <c r="F27" s="14"/>
    </row>
    <row r="28" spans="1:8" ht="31.5" thickBot="1" x14ac:dyDescent="0.3">
      <c r="A28" s="14"/>
      <c r="B28" s="55" t="s">
        <v>35</v>
      </c>
      <c r="C28" s="56"/>
      <c r="D28" s="57"/>
      <c r="E28" s="14"/>
      <c r="F28" s="14"/>
    </row>
    <row r="29" spans="1:8" s="14" customFormat="1" ht="30.75" x14ac:dyDescent="0.25">
      <c r="B29" s="69"/>
      <c r="C29" s="69"/>
      <c r="D29" s="69"/>
    </row>
    <row r="30" spans="1:8" ht="20.25" x14ac:dyDescent="0.35">
      <c r="A30" s="14"/>
      <c r="B30" s="68" t="s">
        <v>17</v>
      </c>
      <c r="C30" s="58" t="s">
        <v>29</v>
      </c>
      <c r="D30" s="51"/>
      <c r="E30" s="14"/>
      <c r="F30" s="14"/>
    </row>
    <row r="31" spans="1:8" ht="20.25" x14ac:dyDescent="0.35">
      <c r="A31" s="14"/>
      <c r="B31" s="51"/>
      <c r="C31" s="59"/>
      <c r="D31" s="51"/>
      <c r="E31" s="14"/>
      <c r="F31" s="14"/>
    </row>
    <row r="32" spans="1:8" ht="16.5" x14ac:dyDescent="0.3">
      <c r="A32" s="14"/>
      <c r="B32" s="60" t="s">
        <v>32</v>
      </c>
      <c r="C32" s="61">
        <f>D12</f>
        <v>4000</v>
      </c>
      <c r="D32" s="60"/>
      <c r="E32" s="14"/>
      <c r="F32" s="14"/>
    </row>
    <row r="33" spans="1:6" ht="16.5" x14ac:dyDescent="0.3">
      <c r="A33" s="14"/>
      <c r="B33" s="62"/>
      <c r="C33" s="62"/>
      <c r="D33" s="62"/>
      <c r="E33" s="14"/>
      <c r="F33" s="14"/>
    </row>
    <row r="34" spans="1:6" ht="16.5" x14ac:dyDescent="0.3">
      <c r="A34" s="14"/>
      <c r="B34" s="63" t="s">
        <v>18</v>
      </c>
      <c r="C34" s="63" t="s">
        <v>33</v>
      </c>
      <c r="D34" s="63" t="s">
        <v>34</v>
      </c>
      <c r="E34" s="14"/>
      <c r="F34" s="14"/>
    </row>
    <row r="35" spans="1:6" ht="16.5" x14ac:dyDescent="0.3">
      <c r="A35" s="14"/>
      <c r="B35" s="64" t="s">
        <v>21</v>
      </c>
      <c r="C35" s="65">
        <f>VLOOKUP($C$30&amp;"-"&amp;B35,Base!$A:$D,4,FALSE)</f>
        <v>0.5</v>
      </c>
      <c r="D35" s="66">
        <f>C35*$C$32</f>
        <v>2000</v>
      </c>
      <c r="E35" s="14"/>
      <c r="F35" s="14"/>
    </row>
    <row r="36" spans="1:6" ht="16.5" x14ac:dyDescent="0.3">
      <c r="A36" s="14"/>
      <c r="B36" s="64" t="s">
        <v>22</v>
      </c>
      <c r="C36" s="65">
        <f>VLOOKUP($C$30&amp;"-"&amp;B36,Base!$A:$D,4,FALSE)</f>
        <v>0.1</v>
      </c>
      <c r="D36" s="66">
        <f t="shared" ref="D36:D40" si="1">C36*$C$32</f>
        <v>400</v>
      </c>
      <c r="E36" s="14"/>
      <c r="F36" s="14"/>
    </row>
    <row r="37" spans="1:6" ht="16.5" x14ac:dyDescent="0.3">
      <c r="A37" s="14"/>
      <c r="B37" s="64" t="s">
        <v>24</v>
      </c>
      <c r="C37" s="65">
        <f>VLOOKUP($C$30&amp;"-"&amp;B37,Base!$A:$D,4,FALSE)</f>
        <v>0.05</v>
      </c>
      <c r="D37" s="66">
        <f t="shared" si="1"/>
        <v>200</v>
      </c>
      <c r="E37" s="14"/>
      <c r="F37" s="14"/>
    </row>
    <row r="38" spans="1:6" ht="16.5" x14ac:dyDescent="0.3">
      <c r="A38" s="14"/>
      <c r="B38" s="64" t="s">
        <v>25</v>
      </c>
      <c r="C38" s="65">
        <f>VLOOKUP($C$30&amp;"-"&amp;B38,Base!$A:$D,4,FALSE)</f>
        <v>0.05</v>
      </c>
      <c r="D38" s="66">
        <f t="shared" si="1"/>
        <v>200</v>
      </c>
      <c r="E38" s="14"/>
      <c r="F38" s="14"/>
    </row>
    <row r="39" spans="1:6" ht="16.5" x14ac:dyDescent="0.3">
      <c r="A39" s="14"/>
      <c r="B39" s="64" t="s">
        <v>26</v>
      </c>
      <c r="C39" s="65">
        <f>VLOOKUP($C$30&amp;"-"&amp;B39,Base!$A:$D,4,FALSE)</f>
        <v>0.2</v>
      </c>
      <c r="D39" s="66">
        <f t="shared" si="1"/>
        <v>800</v>
      </c>
      <c r="E39" s="14"/>
      <c r="F39" s="14"/>
    </row>
    <row r="40" spans="1:6" ht="16.5" x14ac:dyDescent="0.3">
      <c r="A40" s="14"/>
      <c r="B40" s="64" t="s">
        <v>27</v>
      </c>
      <c r="C40" s="65">
        <f>VLOOKUP($C$30&amp;"-"&amp;B40,Base!$A:$D,4,FALSE)</f>
        <v>0.1</v>
      </c>
      <c r="D40" s="66">
        <f t="shared" si="1"/>
        <v>400</v>
      </c>
      <c r="E40" s="14"/>
      <c r="F40" s="14"/>
    </row>
    <row r="41" spans="1:6" ht="16.5" x14ac:dyDescent="0.3">
      <c r="A41" s="14"/>
      <c r="B41" s="60"/>
      <c r="C41" s="60"/>
      <c r="D41" s="67">
        <f>SUM(D35:D40)</f>
        <v>4000</v>
      </c>
      <c r="E41" s="14"/>
      <c r="F41" s="14"/>
    </row>
    <row r="42" spans="1:6" x14ac:dyDescent="0.25">
      <c r="A42" s="14"/>
      <c r="B42" s="14"/>
      <c r="C42" s="14"/>
      <c r="D42" s="14"/>
      <c r="E42" s="14"/>
      <c r="F42" s="14"/>
    </row>
    <row r="43" spans="1:6" x14ac:dyDescent="0.25">
      <c r="A43" s="14"/>
      <c r="B43" s="14"/>
      <c r="C43" s="14"/>
      <c r="D43" s="14"/>
      <c r="E43" s="14"/>
      <c r="F43" s="14"/>
    </row>
    <row r="44" spans="1:6" x14ac:dyDescent="0.25">
      <c r="A44" s="14"/>
      <c r="B44" s="14"/>
      <c r="C44" s="14"/>
      <c r="D44" s="14"/>
      <c r="E44" s="14"/>
      <c r="F44" s="14"/>
    </row>
    <row r="45" spans="1:6" x14ac:dyDescent="0.25">
      <c r="A45" s="14"/>
      <c r="B45" s="14"/>
      <c r="C45" s="14"/>
      <c r="D45" s="14"/>
      <c r="E45" s="14"/>
      <c r="F45" s="14"/>
    </row>
    <row r="46" spans="1:6" x14ac:dyDescent="0.25">
      <c r="A46" s="14"/>
      <c r="B46" s="14"/>
      <c r="C46" s="14"/>
      <c r="D46" s="14"/>
      <c r="E46" s="14"/>
      <c r="F46" s="14"/>
    </row>
    <row r="47" spans="1:6" x14ac:dyDescent="0.25">
      <c r="A47" s="14"/>
      <c r="B47" s="14"/>
      <c r="C47" s="14"/>
      <c r="D47" s="14"/>
      <c r="E47" s="14"/>
      <c r="F47" s="14"/>
    </row>
    <row r="48" spans="1:6" x14ac:dyDescent="0.25">
      <c r="A48" s="14"/>
      <c r="B48" s="14"/>
      <c r="C48" s="14"/>
      <c r="D48" s="14"/>
      <c r="E48" s="14"/>
      <c r="F48" s="14"/>
    </row>
    <row r="49" spans="1:6" x14ac:dyDescent="0.25">
      <c r="A49" s="14"/>
      <c r="B49" s="14"/>
      <c r="C49" s="14"/>
      <c r="D49" s="14"/>
      <c r="E49" s="14"/>
      <c r="F49" s="14"/>
    </row>
    <row r="50" spans="1:6" x14ac:dyDescent="0.25">
      <c r="A50" s="14"/>
      <c r="B50" s="14"/>
      <c r="C50" s="14"/>
      <c r="D50" s="14"/>
      <c r="E50" s="14"/>
      <c r="F50" s="14"/>
    </row>
    <row r="51" spans="1:6" x14ac:dyDescent="0.25">
      <c r="A51" s="14"/>
      <c r="B51" s="14"/>
      <c r="C51" s="14"/>
      <c r="D51" s="14"/>
      <c r="E51" s="14"/>
      <c r="F51" s="14"/>
    </row>
    <row r="52" spans="1:6" x14ac:dyDescent="0.25">
      <c r="A52" s="14"/>
      <c r="B52" s="14"/>
      <c r="C52" s="14"/>
      <c r="D52" s="14"/>
      <c r="E52" s="14"/>
      <c r="F52" s="14"/>
    </row>
    <row r="53" spans="1:6" x14ac:dyDescent="0.25">
      <c r="A53" s="14"/>
      <c r="B53" s="14"/>
      <c r="C53" s="14"/>
      <c r="D53" s="14"/>
      <c r="E53" s="14"/>
      <c r="F53" s="14"/>
    </row>
    <row r="54" spans="1:6" x14ac:dyDescent="0.25">
      <c r="A54" s="14"/>
      <c r="B54" s="14"/>
      <c r="C54" s="14"/>
      <c r="D54" s="14"/>
      <c r="E54" s="14"/>
      <c r="F54" s="14"/>
    </row>
    <row r="55" spans="1:6" x14ac:dyDescent="0.25">
      <c r="A55" s="14"/>
      <c r="B55" s="14"/>
      <c r="C55" s="14"/>
      <c r="D55" s="14"/>
      <c r="E55" s="14"/>
      <c r="F55" s="14"/>
    </row>
    <row r="56" spans="1:6" x14ac:dyDescent="0.25">
      <c r="A56" s="14"/>
      <c r="B56" s="14"/>
      <c r="C56" s="14"/>
      <c r="D56" s="14"/>
      <c r="E56" s="14"/>
      <c r="F56" s="14"/>
    </row>
    <row r="57" spans="1:6" x14ac:dyDescent="0.25">
      <c r="A57" s="14"/>
      <c r="B57" s="14"/>
      <c r="C57" s="14"/>
      <c r="D57" s="14"/>
      <c r="E57" s="14"/>
      <c r="F57" s="14"/>
    </row>
    <row r="58" spans="1:6" x14ac:dyDescent="0.25">
      <c r="A58" s="14"/>
      <c r="B58" s="14"/>
      <c r="C58" s="14"/>
      <c r="D58" s="14"/>
      <c r="E58" s="14"/>
      <c r="F58" s="14"/>
    </row>
    <row r="59" spans="1:6" x14ac:dyDescent="0.25">
      <c r="A59" s="14"/>
      <c r="B59" s="14"/>
      <c r="C59" s="14"/>
      <c r="D59" s="14"/>
      <c r="E59" s="14"/>
      <c r="F59" s="14"/>
    </row>
  </sheetData>
  <mergeCells count="11">
    <mergeCell ref="B14:C14"/>
    <mergeCell ref="B15:C15"/>
    <mergeCell ref="B16:C16"/>
    <mergeCell ref="B18:C18"/>
    <mergeCell ref="B28:D28"/>
    <mergeCell ref="B7:C7"/>
    <mergeCell ref="B8:C8"/>
    <mergeCell ref="B9:C9"/>
    <mergeCell ref="B11:D11"/>
    <mergeCell ref="B12:C12"/>
    <mergeCell ref="B13:C13"/>
  </mergeCells>
  <dataValidations count="1">
    <dataValidation type="list" allowBlank="1" showInputMessage="1" showErrorMessage="1" sqref="C30:C31" xr:uid="{36945372-D997-4E47-9E0B-4EC6839640DD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1C1FE-FBE3-498E-964F-CF492BBAC4AC}">
  <dimension ref="A2:I22"/>
  <sheetViews>
    <sheetView showGridLines="0" workbookViewId="0">
      <selection activeCell="I30" sqref="I30"/>
    </sheetView>
  </sheetViews>
  <sheetFormatPr defaultRowHeight="15" x14ac:dyDescent="0.25"/>
  <cols>
    <col min="1" max="1" width="30.140625" customWidth="1"/>
    <col min="2" max="2" width="16" customWidth="1"/>
    <col min="3" max="3" width="20.28515625" customWidth="1"/>
    <col min="4" max="4" width="11.28515625" customWidth="1"/>
  </cols>
  <sheetData>
    <row r="2" spans="1:9" x14ac:dyDescent="0.25">
      <c r="A2" s="2" t="s">
        <v>16</v>
      </c>
      <c r="B2" s="2" t="s">
        <v>17</v>
      </c>
      <c r="C2" s="3" t="s">
        <v>18</v>
      </c>
      <c r="D2" s="3" t="s">
        <v>19</v>
      </c>
    </row>
    <row r="3" spans="1:9" x14ac:dyDescent="0.25">
      <c r="A3" t="str">
        <f>B3&amp;"-"&amp;C3</f>
        <v>Conservador-PAPEL</v>
      </c>
      <c r="B3" t="s">
        <v>20</v>
      </c>
      <c r="C3" s="4" t="s">
        <v>21</v>
      </c>
      <c r="D3" s="5">
        <v>0.3</v>
      </c>
      <c r="I3" t="s">
        <v>19</v>
      </c>
    </row>
    <row r="4" spans="1:9" x14ac:dyDescent="0.25">
      <c r="A4" t="str">
        <f t="shared" ref="A4:A20" si="0">B4&amp;"-"&amp;C4</f>
        <v>Conservador-TIJOLO</v>
      </c>
      <c r="B4" t="s">
        <v>20</v>
      </c>
      <c r="C4" s="4" t="s">
        <v>22</v>
      </c>
      <c r="D4" s="5">
        <v>0.5</v>
      </c>
      <c r="G4" s="6" t="s">
        <v>23</v>
      </c>
      <c r="H4" s="7">
        <f>VLOOKUP(A10,$A:$D,4,FALSE)</f>
        <v>0.35</v>
      </c>
    </row>
    <row r="5" spans="1:9" x14ac:dyDescent="0.25">
      <c r="A5" t="str">
        <f t="shared" si="0"/>
        <v>Conservador-HÍBRIDOS</v>
      </c>
      <c r="B5" t="s">
        <v>20</v>
      </c>
      <c r="C5" s="4" t="s">
        <v>24</v>
      </c>
      <c r="D5" s="5">
        <v>0.1</v>
      </c>
    </row>
    <row r="6" spans="1:9" x14ac:dyDescent="0.25">
      <c r="A6" t="str">
        <f t="shared" si="0"/>
        <v>Conservador-FOFs</v>
      </c>
      <c r="B6" t="s">
        <v>20</v>
      </c>
      <c r="C6" s="4" t="s">
        <v>25</v>
      </c>
      <c r="D6" s="5">
        <v>0.1</v>
      </c>
    </row>
    <row r="7" spans="1:9" x14ac:dyDescent="0.25">
      <c r="A7" t="str">
        <f t="shared" si="0"/>
        <v>Conservador-DESENVOLVIMENTO</v>
      </c>
      <c r="B7" t="s">
        <v>20</v>
      </c>
      <c r="C7" s="4" t="s">
        <v>26</v>
      </c>
      <c r="D7" s="5">
        <v>0</v>
      </c>
    </row>
    <row r="8" spans="1:9" ht="15.75" thickBot="1" x14ac:dyDescent="0.3">
      <c r="A8" s="8" t="str">
        <f t="shared" si="0"/>
        <v>Conservador-HOTELARIAS</v>
      </c>
      <c r="B8" s="8" t="s">
        <v>20</v>
      </c>
      <c r="C8" s="9" t="s">
        <v>27</v>
      </c>
      <c r="D8" s="10">
        <v>0</v>
      </c>
    </row>
    <row r="9" spans="1:9" x14ac:dyDescent="0.25">
      <c r="A9" t="str">
        <f t="shared" si="0"/>
        <v>Moderado-PAPEL</v>
      </c>
      <c r="B9" t="s">
        <v>28</v>
      </c>
      <c r="C9" s="4" t="s">
        <v>21</v>
      </c>
      <c r="D9" s="5">
        <v>0.32</v>
      </c>
    </row>
    <row r="10" spans="1:9" x14ac:dyDescent="0.25">
      <c r="A10" s="11" t="str">
        <f t="shared" si="0"/>
        <v>Moderado-TIJOLO</v>
      </c>
      <c r="B10" s="11" t="s">
        <v>28</v>
      </c>
      <c r="C10" s="12" t="s">
        <v>22</v>
      </c>
      <c r="D10" s="13">
        <v>0.35</v>
      </c>
    </row>
    <row r="11" spans="1:9" x14ac:dyDescent="0.25">
      <c r="A11" t="str">
        <f t="shared" si="0"/>
        <v>Moderado-HÍBRIDOS</v>
      </c>
      <c r="B11" t="s">
        <v>28</v>
      </c>
      <c r="C11" s="4" t="s">
        <v>24</v>
      </c>
      <c r="D11" s="5">
        <v>0.08</v>
      </c>
    </row>
    <row r="12" spans="1:9" x14ac:dyDescent="0.25">
      <c r="A12" t="str">
        <f t="shared" si="0"/>
        <v>Moderado-FOFs</v>
      </c>
      <c r="B12" t="s">
        <v>28</v>
      </c>
      <c r="C12" s="4" t="s">
        <v>25</v>
      </c>
      <c r="D12" s="5">
        <v>0.05</v>
      </c>
    </row>
    <row r="13" spans="1:9" x14ac:dyDescent="0.25">
      <c r="A13" t="str">
        <f t="shared" si="0"/>
        <v>Moderado-DESENVOLVIMENTO</v>
      </c>
      <c r="B13" t="s">
        <v>28</v>
      </c>
      <c r="C13" s="4" t="s">
        <v>26</v>
      </c>
      <c r="D13" s="5">
        <v>0.1</v>
      </c>
    </row>
    <row r="14" spans="1:9" ht="15.75" thickBot="1" x14ac:dyDescent="0.3">
      <c r="A14" s="8" t="str">
        <f t="shared" si="0"/>
        <v>Moderado-HOTELARIAS</v>
      </c>
      <c r="B14" s="8" t="s">
        <v>28</v>
      </c>
      <c r="C14" s="9" t="s">
        <v>27</v>
      </c>
      <c r="D14" s="10">
        <v>0.1</v>
      </c>
    </row>
    <row r="15" spans="1:9" x14ac:dyDescent="0.25">
      <c r="A15" t="str">
        <f t="shared" si="0"/>
        <v>Agressivo-PAPEL</v>
      </c>
      <c r="B15" t="s">
        <v>29</v>
      </c>
      <c r="C15" s="4" t="s">
        <v>21</v>
      </c>
      <c r="D15" s="5">
        <v>0.5</v>
      </c>
    </row>
    <row r="16" spans="1:9" x14ac:dyDescent="0.25">
      <c r="A16" t="str">
        <f t="shared" si="0"/>
        <v>Agressivo-TIJOLO</v>
      </c>
      <c r="B16" t="s">
        <v>29</v>
      </c>
      <c r="C16" s="4" t="s">
        <v>22</v>
      </c>
      <c r="D16" s="5">
        <v>0.1</v>
      </c>
    </row>
    <row r="17" spans="1:5" x14ac:dyDescent="0.25">
      <c r="A17" t="str">
        <f t="shared" si="0"/>
        <v>Agressivo-HÍBRIDOS</v>
      </c>
      <c r="B17" t="s">
        <v>29</v>
      </c>
      <c r="C17" s="4" t="s">
        <v>24</v>
      </c>
      <c r="D17" s="5">
        <v>0.05</v>
      </c>
    </row>
    <row r="18" spans="1:5" x14ac:dyDescent="0.25">
      <c r="A18" t="str">
        <f t="shared" si="0"/>
        <v>Agressivo-FOFs</v>
      </c>
      <c r="B18" t="s">
        <v>29</v>
      </c>
      <c r="C18" s="4" t="s">
        <v>25</v>
      </c>
      <c r="D18" s="5">
        <v>0.05</v>
      </c>
    </row>
    <row r="19" spans="1:5" x14ac:dyDescent="0.25">
      <c r="A19" t="str">
        <f t="shared" si="0"/>
        <v>Agressivo-DESENVOLVIMENTO</v>
      </c>
      <c r="B19" t="s">
        <v>29</v>
      </c>
      <c r="C19" s="4" t="s">
        <v>26</v>
      </c>
      <c r="D19" s="5">
        <v>0.2</v>
      </c>
    </row>
    <row r="20" spans="1:5" x14ac:dyDescent="0.25">
      <c r="A20" t="str">
        <f t="shared" si="0"/>
        <v>Agressivo-HOTELARIAS</v>
      </c>
      <c r="B20" t="s">
        <v>29</v>
      </c>
      <c r="C20" s="4" t="s">
        <v>27</v>
      </c>
      <c r="D20" s="5">
        <v>0.1</v>
      </c>
    </row>
    <row r="22" spans="1:5" x14ac:dyDescent="0.25">
      <c r="E22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Simulador</vt:lpstr>
      <vt:lpstr>Base</vt:lpstr>
      <vt:lpstr>aporte</vt:lpstr>
      <vt:lpstr>patrimonio</vt:lpstr>
      <vt:lpstr>qtd_anos</vt:lpstr>
      <vt:lpstr>rendimento_carteira</vt:lpstr>
      <vt:lpstr>salario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Rech</dc:creator>
  <cp:lastModifiedBy>Luciana Rech</cp:lastModifiedBy>
  <dcterms:created xsi:type="dcterms:W3CDTF">2025-06-29T02:31:18Z</dcterms:created>
  <dcterms:modified xsi:type="dcterms:W3CDTF">2025-06-29T04:22:20Z</dcterms:modified>
</cp:coreProperties>
</file>